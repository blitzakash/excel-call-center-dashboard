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DC576292-6E8F-4B79-A60E-C8B9A4AE5C9D}" xr6:coauthVersionLast="47" xr6:coauthVersionMax="47" xr10:uidLastSave="{00000000-0000-0000-0000-000000000000}"/>
  <bookViews>
    <workbookView xWindow="-108" yWindow="-108" windowWidth="23256" windowHeight="12456" activeTab="1" xr2:uid="{DA301AD3-4D8E-4D93-9DCC-908CCFFE2695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F8" i="1"/>
  <c r="E7" i="1"/>
  <c r="C6" i="1"/>
  <c r="B6" i="1"/>
  <c r="F6" i="1" s="1"/>
  <c r="E5" i="1"/>
  <c r="D5" i="1"/>
  <c r="D7" i="1" s="1"/>
  <c r="C5" i="1"/>
  <c r="C7" i="1" s="1"/>
  <c r="B5" i="1"/>
  <c r="F5" i="1" s="1"/>
  <c r="E4" i="1"/>
  <c r="E6" i="1" s="1"/>
  <c r="D4" i="1"/>
  <c r="D6" i="1" s="1"/>
  <c r="C4" i="1"/>
  <c r="B4" i="1"/>
  <c r="F3" i="1"/>
  <c r="F4" i="1" l="1"/>
  <c r="B7" i="1"/>
  <c r="F7" i="1" s="1"/>
</calcChain>
</file>

<file path=xl/sharedStrings.xml><?xml version="1.0" encoding="utf-8"?>
<sst xmlns="http://schemas.openxmlformats.org/spreadsheetml/2006/main" count="21" uniqueCount="15">
  <si>
    <t>Call Center Quarterly Report</t>
  </si>
  <si>
    <t>Department</t>
  </si>
  <si>
    <t>Q1</t>
  </si>
  <si>
    <t>Q2</t>
  </si>
  <si>
    <t>Q3</t>
  </si>
  <si>
    <t>Q4</t>
  </si>
  <si>
    <t>Total</t>
  </si>
  <si>
    <t>Help Desk</t>
  </si>
  <si>
    <t>Marketing</t>
  </si>
  <si>
    <t>IT</t>
  </si>
  <si>
    <t>Procurement</t>
  </si>
  <si>
    <t>Supply Chain</t>
  </si>
  <si>
    <t>Accounting</t>
  </si>
  <si>
    <t>Select Department:</t>
  </si>
  <si>
    <t>Call Center Dashboard – XLOOKUP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</si>
</sst>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4" xfId="0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0" fontId="2" fillId="0" borderId="7" xfId="0" applyFont="1" applyBorder="1"/>
    <xf numFmtId="164" fontId="2" fillId="0" borderId="8" xfId="1" applyNumberFormat="1" applyFont="1" applyBorder="1"/>
    <xf numFmtId="164" fontId="2" fillId="0" borderId="9" xfId="1" applyNumberFormat="1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Microsoft Sans Serif" panose="020B0604020202020204" pitchFamily="34" charset="0"/>
                <a:cs typeface="Arial" panose="020B0604020202020204" pitchFamily="34" charset="0"/>
              </a:defRPr>
            </a:pPr>
            <a:r>
              <a:rPr lang="en-US" sz="1400" b="1" i="0" u="none" strike="noStrike" baseline="0">
                <a:latin typeface="Arial" panose="020B0604020202020204" pitchFamily="34" charset="0"/>
                <a:ea typeface="Microsoft Sans Serif" panose="020B0604020202020204" pitchFamily="34" charset="0"/>
                <a:cs typeface="Arial" panose="020B0604020202020204" pitchFamily="34" charset="0"/>
              </a:rPr>
              <a:t>Quarterly Calls by Department</a:t>
            </a:r>
            <a:endParaRPr lang="en-US" b="1">
              <a:latin typeface="Arial" panose="020B0604020202020204" pitchFamily="34" charset="0"/>
              <a:ea typeface="Microsoft Sans Serif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Microsoft Sans Serif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6-4A93-8B31-1D1078BE9F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6-4A93-8B31-1D1078BE9F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06-4A93-8B31-1D1078BE9F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06-4A93-8B31-1D1078BE9F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06-4A93-8B31-1D1078BE9F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Dashboard!$A$3:$A$7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Total</c:v>
                </c:pt>
              </c:strCache>
            </c:strRef>
          </c:cat>
          <c:val>
            <c:numRef>
              <c:f>Dashboard!$B$3:$B$7</c:f>
              <c:numCache>
                <c:formatCode>General</c:formatCode>
                <c:ptCount val="5"/>
                <c:pt idx="0">
                  <c:v>290</c:v>
                </c:pt>
                <c:pt idx="1">
                  <c:v>396</c:v>
                </c:pt>
                <c:pt idx="2">
                  <c:v>878</c:v>
                </c:pt>
                <c:pt idx="3">
                  <c:v>912</c:v>
                </c:pt>
                <c:pt idx="4">
                  <c:v>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D-474E-90BD-6C38B3642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194310</xdr:rowOff>
    </xdr:from>
    <xdr:to>
      <xdr:col>6</xdr:col>
      <xdr:colOff>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1F325-8A29-473F-9C6C-6E09A28E3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B28F-65B0-4826-979E-C3C198A2C043}">
  <dimension ref="A1:F8"/>
  <sheetViews>
    <sheetView workbookViewId="0">
      <selection activeCell="F9" sqref="F9"/>
    </sheetView>
  </sheetViews>
  <sheetFormatPr defaultRowHeight="14.4" x14ac:dyDescent="0.3"/>
  <cols>
    <col min="1" max="1" width="15.88671875" bestFit="1" customWidth="1"/>
  </cols>
  <sheetData>
    <row r="1" spans="1:6" ht="18" x14ac:dyDescent="0.35">
      <c r="A1" s="11" t="s">
        <v>0</v>
      </c>
      <c r="B1" s="12"/>
      <c r="C1" s="12"/>
      <c r="D1" s="12"/>
      <c r="E1" s="12"/>
      <c r="F1" s="13"/>
    </row>
    <row r="2" spans="1:6" ht="18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18" x14ac:dyDescent="0.35">
      <c r="A3" s="4" t="s">
        <v>7</v>
      </c>
      <c r="B3" s="5">
        <v>500</v>
      </c>
      <c r="C3" s="5">
        <v>606</v>
      </c>
      <c r="D3" s="5">
        <v>1088</v>
      </c>
      <c r="E3" s="5">
        <v>1122</v>
      </c>
      <c r="F3" s="6">
        <f t="shared" ref="F3:F8" si="0">SUM(B3:E3)</f>
        <v>3316</v>
      </c>
    </row>
    <row r="4" spans="1:6" ht="18" x14ac:dyDescent="0.35">
      <c r="A4" s="4" t="s">
        <v>8</v>
      </c>
      <c r="B4" s="5">
        <f>SUM(B3-300)</f>
        <v>200</v>
      </c>
      <c r="C4" s="5">
        <f t="shared" ref="C4:E4" si="1">SUM(C3-300)</f>
        <v>306</v>
      </c>
      <c r="D4" s="5">
        <f t="shared" si="1"/>
        <v>788</v>
      </c>
      <c r="E4" s="5">
        <f t="shared" si="1"/>
        <v>822</v>
      </c>
      <c r="F4" s="6">
        <f t="shared" si="0"/>
        <v>2116</v>
      </c>
    </row>
    <row r="5" spans="1:6" ht="18" x14ac:dyDescent="0.35">
      <c r="A5" s="4" t="s">
        <v>9</v>
      </c>
      <c r="B5" s="5">
        <f>SUM(B3+90)</f>
        <v>590</v>
      </c>
      <c r="C5" s="5">
        <f t="shared" ref="C5:E7" si="2">SUM(C3+90)</f>
        <v>696</v>
      </c>
      <c r="D5" s="5">
        <f t="shared" si="2"/>
        <v>1178</v>
      </c>
      <c r="E5" s="5">
        <f t="shared" si="2"/>
        <v>1212</v>
      </c>
      <c r="F5" s="6">
        <f t="shared" si="0"/>
        <v>3676</v>
      </c>
    </row>
    <row r="6" spans="1:6" ht="18" x14ac:dyDescent="0.35">
      <c r="A6" s="4" t="s">
        <v>10</v>
      </c>
      <c r="B6" s="5">
        <f>SUM(B4+90)</f>
        <v>290</v>
      </c>
      <c r="C6" s="5">
        <f t="shared" si="2"/>
        <v>396</v>
      </c>
      <c r="D6" s="5">
        <f t="shared" si="2"/>
        <v>878</v>
      </c>
      <c r="E6" s="5">
        <f t="shared" si="2"/>
        <v>912</v>
      </c>
      <c r="F6" s="6">
        <f t="shared" si="0"/>
        <v>2476</v>
      </c>
    </row>
    <row r="7" spans="1:6" ht="18" x14ac:dyDescent="0.35">
      <c r="A7" s="4" t="s">
        <v>11</v>
      </c>
      <c r="B7" s="5">
        <f>SUM(B5+90)</f>
        <v>680</v>
      </c>
      <c r="C7" s="5">
        <f t="shared" si="2"/>
        <v>786</v>
      </c>
      <c r="D7" s="5">
        <f t="shared" si="2"/>
        <v>1268</v>
      </c>
      <c r="E7" s="5">
        <f t="shared" si="2"/>
        <v>1302</v>
      </c>
      <c r="F7" s="6">
        <f t="shared" si="0"/>
        <v>4036</v>
      </c>
    </row>
    <row r="8" spans="1:6" ht="18.600000000000001" thickBot="1" x14ac:dyDescent="0.4">
      <c r="A8" s="7" t="s">
        <v>12</v>
      </c>
      <c r="B8" s="8">
        <v>500</v>
      </c>
      <c r="C8" s="8">
        <v>250</v>
      </c>
      <c r="D8" s="8">
        <v>376</v>
      </c>
      <c r="E8" s="8">
        <v>809</v>
      </c>
      <c r="F8" s="9">
        <f t="shared" si="0"/>
        <v>1935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EB34-0868-41B3-8B38-0C63519AA3E0}">
  <dimension ref="A1:F9"/>
  <sheetViews>
    <sheetView tabSelected="1"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11.21875" bestFit="1" customWidth="1"/>
  </cols>
  <sheetData>
    <row r="1" spans="1:6" x14ac:dyDescent="0.3">
      <c r="A1" s="10" t="s">
        <v>13</v>
      </c>
      <c r="B1" t="s">
        <v>10</v>
      </c>
    </row>
    <row r="3" spans="1:6" x14ac:dyDescent="0.3">
      <c r="A3" t="s">
        <v>2</v>
      </c>
      <c r="B3">
        <f>_xlfn.XLOOKUP(B1,Data!A3:A8,Data!B3:B8)</f>
        <v>290</v>
      </c>
    </row>
    <row r="4" spans="1:6" x14ac:dyDescent="0.3">
      <c r="A4" t="s">
        <v>3</v>
      </c>
      <c r="B4">
        <f>_xlfn.XLOOKUP(B1,Data!A3:A8,Data!C3:C8)</f>
        <v>396</v>
      </c>
    </row>
    <row r="5" spans="1:6" x14ac:dyDescent="0.3">
      <c r="A5" t="s">
        <v>4</v>
      </c>
      <c r="B5">
        <f>_xlfn.XLOOKUP(B1,Data!A3:A8,Data!D3:D8)</f>
        <v>878</v>
      </c>
    </row>
    <row r="6" spans="1:6" x14ac:dyDescent="0.3">
      <c r="A6" t="s">
        <v>5</v>
      </c>
      <c r="B6">
        <f>_xlfn.XLOOKUP(B1,Data!A3:A8,Data!E3:E8)</f>
        <v>912</v>
      </c>
    </row>
    <row r="7" spans="1:6" x14ac:dyDescent="0.3">
      <c r="A7" t="s">
        <v>6</v>
      </c>
      <c r="B7">
        <f>_xlfn.XLOOKUP(B1,Data!A3:A8,Data!F3:F8)</f>
        <v>2476</v>
      </c>
    </row>
    <row r="9" spans="1:6" ht="15.6" x14ac:dyDescent="0.3">
      <c r="A9" s="14" t="s">
        <v>14</v>
      </c>
      <c r="B9" s="14"/>
      <c r="C9" s="14"/>
      <c r="D9" s="14"/>
      <c r="E9" s="14"/>
      <c r="F9" s="14"/>
    </row>
  </sheetData>
  <mergeCells count="1">
    <mergeCell ref="A9:F9"/>
  </mergeCells>
  <phoneticPr fontId="4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085C50-CA9E-41DB-A88C-8413AA8F0D66}">
          <x14:formula1>
            <xm:f>Data!$A$3:$A$8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Thesina Adams</dc:creator>
  <cp:lastModifiedBy>Akash</cp:lastModifiedBy>
  <dcterms:created xsi:type="dcterms:W3CDTF">2025-09-02T01:30:59Z</dcterms:created>
  <dcterms:modified xsi:type="dcterms:W3CDTF">2025-11-20T20:53:52Z</dcterms:modified>
</cp:coreProperties>
</file>